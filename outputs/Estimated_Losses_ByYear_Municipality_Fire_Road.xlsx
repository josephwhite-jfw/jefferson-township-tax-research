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c708eb55e2c127/Documents/GitHub/JeffersonTownshipTaxResearch/outputs/"/>
    </mc:Choice>
  </mc:AlternateContent>
  <xr:revisionPtr revIDLastSave="167" documentId="11_BD79460C77E113215CFF31D2F8F2D3C284D99C7E" xr6:coauthVersionLast="47" xr6:coauthVersionMax="47" xr10:uidLastSave="{9986399D-CF1B-4168-8D99-AC308CA85458}"/>
  <bookViews>
    <workbookView xWindow="-110" yWindow="-110" windowWidth="24220" windowHeight="15500" xr2:uid="{00000000-000D-0000-FFFF-FFFF00000000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2" l="1"/>
  <c r="D35" i="2"/>
  <c r="E35" i="2"/>
  <c r="F35" i="2"/>
  <c r="G35" i="2"/>
  <c r="H35" i="2"/>
  <c r="I35" i="2"/>
  <c r="J35" i="2"/>
  <c r="K35" i="2"/>
  <c r="B35" i="2"/>
  <c r="C24" i="2"/>
  <c r="D24" i="2"/>
  <c r="E24" i="2"/>
  <c r="F24" i="2"/>
  <c r="G24" i="2"/>
  <c r="H24" i="2"/>
  <c r="I24" i="2"/>
  <c r="J24" i="2"/>
  <c r="K24" i="2"/>
  <c r="C25" i="2"/>
  <c r="D25" i="2"/>
  <c r="E25" i="2"/>
  <c r="F25" i="2"/>
  <c r="G25" i="2"/>
  <c r="H25" i="2"/>
  <c r="I25" i="2"/>
  <c r="J25" i="2"/>
  <c r="K25" i="2"/>
  <c r="C26" i="2"/>
  <c r="D26" i="2"/>
  <c r="E26" i="2"/>
  <c r="F26" i="2"/>
  <c r="G26" i="2"/>
  <c r="H26" i="2"/>
  <c r="I26" i="2"/>
  <c r="J26" i="2"/>
  <c r="K26" i="2"/>
  <c r="C27" i="2"/>
  <c r="D27" i="2"/>
  <c r="E27" i="2"/>
  <c r="F27" i="2"/>
  <c r="G27" i="2"/>
  <c r="H27" i="2"/>
  <c r="I27" i="2"/>
  <c r="J27" i="2"/>
  <c r="K27" i="2"/>
  <c r="C28" i="2"/>
  <c r="D28" i="2"/>
  <c r="E28" i="2"/>
  <c r="F28" i="2"/>
  <c r="G28" i="2"/>
  <c r="H28" i="2"/>
  <c r="I28" i="2"/>
  <c r="J28" i="2"/>
  <c r="K28" i="2"/>
  <c r="C29" i="2"/>
  <c r="D29" i="2"/>
  <c r="E29" i="2"/>
  <c r="F29" i="2"/>
  <c r="G29" i="2"/>
  <c r="H29" i="2"/>
  <c r="I29" i="2"/>
  <c r="J29" i="2"/>
  <c r="K29" i="2"/>
  <c r="C30" i="2"/>
  <c r="D30" i="2"/>
  <c r="E30" i="2"/>
  <c r="F30" i="2"/>
  <c r="G30" i="2"/>
  <c r="H30" i="2"/>
  <c r="I30" i="2"/>
  <c r="J30" i="2"/>
  <c r="K30" i="2"/>
  <c r="C31" i="2"/>
  <c r="D31" i="2"/>
  <c r="E31" i="2"/>
  <c r="F31" i="2"/>
  <c r="G31" i="2"/>
  <c r="H31" i="2"/>
  <c r="I31" i="2"/>
  <c r="J31" i="2"/>
  <c r="K31" i="2"/>
  <c r="C32" i="2"/>
  <c r="D32" i="2"/>
  <c r="E32" i="2"/>
  <c r="F32" i="2"/>
  <c r="G32" i="2"/>
  <c r="H32" i="2"/>
  <c r="I32" i="2"/>
  <c r="J32" i="2"/>
  <c r="K32" i="2"/>
  <c r="C33" i="2"/>
  <c r="D33" i="2"/>
  <c r="E33" i="2"/>
  <c r="F33" i="2"/>
  <c r="G33" i="2"/>
  <c r="H33" i="2"/>
  <c r="I33" i="2"/>
  <c r="J33" i="2"/>
  <c r="K33" i="2"/>
  <c r="C34" i="2"/>
  <c r="D34" i="2"/>
  <c r="E34" i="2"/>
  <c r="F34" i="2"/>
  <c r="G34" i="2"/>
  <c r="H34" i="2"/>
  <c r="I34" i="2"/>
  <c r="J34" i="2"/>
  <c r="K34" i="2"/>
  <c r="B25" i="2"/>
  <c r="B26" i="2"/>
  <c r="B27" i="2"/>
  <c r="B28" i="2"/>
  <c r="B29" i="2"/>
  <c r="B30" i="2"/>
  <c r="B31" i="2"/>
  <c r="B32" i="2"/>
  <c r="B33" i="2"/>
  <c r="B34" i="2"/>
  <c r="B24" i="2"/>
  <c r="K6" i="2"/>
  <c r="K7" i="2"/>
  <c r="K8" i="2"/>
  <c r="K9" i="2"/>
  <c r="K10" i="2"/>
  <c r="K11" i="2"/>
  <c r="K12" i="2"/>
  <c r="K13" i="2"/>
  <c r="K14" i="2"/>
  <c r="K15" i="2"/>
  <c r="K16" i="2"/>
  <c r="K17" i="2"/>
</calcChain>
</file>

<file path=xl/sharedStrings.xml><?xml version="1.0" encoding="utf-8"?>
<sst xmlns="http://schemas.openxmlformats.org/spreadsheetml/2006/main" count="178" uniqueCount="18">
  <si>
    <t>TaxYear</t>
  </si>
  <si>
    <t>Municipality</t>
  </si>
  <si>
    <t>Fund</t>
  </si>
  <si>
    <t>EstimatedLoss</t>
  </si>
  <si>
    <t>Columbus</t>
  </si>
  <si>
    <t>Gahanna</t>
  </si>
  <si>
    <t>Jefferson Unincorporated</t>
  </si>
  <si>
    <t>Reynoldsburg</t>
  </si>
  <si>
    <t>FireRate</t>
  </si>
  <si>
    <t>RoadRate</t>
  </si>
  <si>
    <t>Grand Total</t>
  </si>
  <si>
    <t>Fire</t>
  </si>
  <si>
    <t>Total</t>
  </si>
  <si>
    <t>Road</t>
  </si>
  <si>
    <t>Estimated Tax Revenue Diverted to TIFs by Jurisdiction and Fund in 000's</t>
  </si>
  <si>
    <t>*Road</t>
  </si>
  <si>
    <t>*  - Includes Inside Millage</t>
  </si>
  <si>
    <t>Tax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</si>
</sst>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1" tint="0.499984740745262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0" tint="-0.149998474074526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14999847407452621"/>
      </top>
      <bottom style="thin">
        <color theme="1" tint="0.499984740745262"/>
      </bottom>
      <diagonal/>
    </border>
    <border>
      <left/>
      <right style="medium">
        <color indexed="64"/>
      </right>
      <top style="thin">
        <color theme="0" tint="-0.14999847407452621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theme="1" tint="0.499984740745262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  <xf numFmtId="0" fontId="1" fillId="0" borderId="3" xfId="0" applyFont="1" applyBorder="1"/>
    <xf numFmtId="0" fontId="0" fillId="2" borderId="4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1" fillId="3" borderId="5" xfId="0" applyFont="1" applyFill="1" applyBorder="1" applyAlignment="1">
      <alignment horizontal="left"/>
    </xf>
    <xf numFmtId="164" fontId="0" fillId="2" borderId="4" xfId="0" applyNumberFormat="1" applyFill="1" applyBorder="1"/>
    <xf numFmtId="164" fontId="0" fillId="0" borderId="2" xfId="0" applyNumberFormat="1" applyBorder="1"/>
    <xf numFmtId="164" fontId="1" fillId="3" borderId="5" xfId="0" applyNumberFormat="1" applyFont="1" applyFill="1" applyBorder="1"/>
    <xf numFmtId="164" fontId="0" fillId="2" borderId="4" xfId="0" applyNumberForma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64" fontId="0" fillId="2" borderId="29" xfId="0" applyNumberFormat="1" applyFill="1" applyBorder="1" applyAlignment="1">
      <alignment horizontal="center" vertical="center"/>
    </xf>
    <xf numFmtId="164" fontId="0" fillId="2" borderId="30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165" fontId="0" fillId="2" borderId="20" xfId="0" applyNumberFormat="1" applyFill="1" applyBorder="1" applyAlignment="1">
      <alignment horizontal="center" vertical="center"/>
    </xf>
    <xf numFmtId="165" fontId="0" fillId="2" borderId="24" xfId="0" applyNumberFormat="1" applyFill="1" applyBorder="1" applyAlignment="1">
      <alignment horizontal="center" vertical="center"/>
    </xf>
    <xf numFmtId="165" fontId="0" fillId="2" borderId="4" xfId="0" applyNumberFormat="1" applyFill="1" applyBorder="1" applyAlignment="1">
      <alignment horizontal="center" vertical="center"/>
    </xf>
    <xf numFmtId="165" fontId="0" fillId="2" borderId="15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165" fontId="1" fillId="3" borderId="23" xfId="0" applyNumberFormat="1" applyFont="1" applyFill="1" applyBorder="1" applyAlignment="1">
      <alignment horizontal="center" vertical="center"/>
    </xf>
    <xf numFmtId="165" fontId="1" fillId="3" borderId="27" xfId="0" applyNumberFormat="1" applyFont="1" applyFill="1" applyBorder="1" applyAlignment="1">
      <alignment horizontal="center" vertical="center"/>
    </xf>
    <xf numFmtId="165" fontId="1" fillId="3" borderId="18" xfId="0" applyNumberFormat="1" applyFont="1" applyFill="1" applyBorder="1" applyAlignment="1">
      <alignment horizontal="center" vertical="center"/>
    </xf>
    <xf numFmtId="165" fontId="1" fillId="3" borderId="19" xfId="0" applyNumberFormat="1" applyFont="1" applyFill="1" applyBorder="1" applyAlignment="1">
      <alignment horizontal="center" vertical="center"/>
    </xf>
    <xf numFmtId="164" fontId="0" fillId="2" borderId="34" xfId="0" applyNumberFormat="1" applyFill="1" applyBorder="1" applyAlignment="1">
      <alignment horizontal="center" vertical="center"/>
    </xf>
    <xf numFmtId="164" fontId="0" fillId="2" borderId="35" xfId="0" applyNumberFormat="1" applyFill="1" applyBorder="1" applyAlignment="1">
      <alignment horizontal="center" vertical="center"/>
    </xf>
    <xf numFmtId="164" fontId="0" fillId="2" borderId="36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85A5-4FE6-49EA-9E0D-70A3DA05A991}">
  <sheetPr>
    <pageSetUpPr fitToPage="1"/>
  </sheetPr>
  <dimension ref="A2:K37"/>
  <sheetViews>
    <sheetView tabSelected="1" zoomScale="68" zoomScaleNormal="67" workbookViewId="0">
      <selection activeCell="P27" sqref="P27"/>
    </sheetView>
  </sheetViews>
  <sheetFormatPr defaultRowHeight="14.5" x14ac:dyDescent="0.35"/>
  <cols>
    <col min="1" max="1" width="19.26953125" bestFit="1" customWidth="1"/>
    <col min="2" max="2" width="15.36328125" bestFit="1" customWidth="1"/>
    <col min="3" max="3" width="14.08984375" bestFit="1" customWidth="1"/>
    <col min="4" max="4" width="12.1796875" bestFit="1" customWidth="1"/>
    <col min="5" max="5" width="13.26953125" bestFit="1" customWidth="1"/>
    <col min="6" max="6" width="24.36328125" bestFit="1" customWidth="1"/>
    <col min="7" max="7" width="12.1796875" bestFit="1" customWidth="1"/>
    <col min="8" max="8" width="27.36328125" bestFit="1" customWidth="1"/>
    <col min="9" max="9" width="14.08984375" bestFit="1" customWidth="1"/>
    <col min="10" max="10" width="17.1796875" bestFit="1" customWidth="1"/>
    <col min="11" max="11" width="13.81640625" bestFit="1" customWidth="1"/>
  </cols>
  <sheetData>
    <row r="2" spans="1:11" x14ac:dyDescent="0.35">
      <c r="A2" s="15" t="s">
        <v>14</v>
      </c>
      <c r="B2" s="15"/>
      <c r="C2" s="15"/>
      <c r="D2" s="15"/>
      <c r="E2" s="15"/>
      <c r="F2" s="15"/>
      <c r="G2" s="15"/>
      <c r="H2" s="15"/>
      <c r="I2" s="15"/>
      <c r="J2" s="15"/>
    </row>
    <row r="3" spans="1:11" x14ac:dyDescent="0.35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1" x14ac:dyDescent="0.35">
      <c r="A4" s="2"/>
      <c r="B4" s="14" t="s">
        <v>4</v>
      </c>
      <c r="C4" s="14"/>
      <c r="D4" s="14" t="s">
        <v>5</v>
      </c>
      <c r="E4" s="14"/>
      <c r="F4" s="14" t="s">
        <v>6</v>
      </c>
      <c r="G4" s="14"/>
      <c r="H4" s="10"/>
      <c r="I4" s="14" t="s">
        <v>7</v>
      </c>
      <c r="J4" s="14"/>
    </row>
    <row r="5" spans="1:11" x14ac:dyDescent="0.35">
      <c r="A5" s="3"/>
      <c r="B5" s="3" t="s">
        <v>11</v>
      </c>
      <c r="C5" s="3" t="s">
        <v>12</v>
      </c>
      <c r="D5" s="3" t="s">
        <v>11</v>
      </c>
      <c r="E5" s="3" t="s">
        <v>12</v>
      </c>
      <c r="F5" s="3" t="s">
        <v>11</v>
      </c>
      <c r="G5" s="3" t="s">
        <v>13</v>
      </c>
      <c r="H5" s="3" t="s">
        <v>12</v>
      </c>
      <c r="I5" s="3" t="s">
        <v>11</v>
      </c>
      <c r="J5" s="3" t="s">
        <v>12</v>
      </c>
      <c r="K5" s="3" t="s">
        <v>10</v>
      </c>
    </row>
    <row r="6" spans="1:11" x14ac:dyDescent="0.35">
      <c r="A6" s="4">
        <v>2014</v>
      </c>
      <c r="B6" s="7">
        <v>81272.100224938782</v>
      </c>
      <c r="C6" s="7">
        <v>81272.100224938782</v>
      </c>
      <c r="D6" s="7">
        <v>45126.551218318622</v>
      </c>
      <c r="E6" s="7">
        <v>45126.551218318622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f>SUM(C6,E6,H6,J6)</f>
        <v>126398.6514432574</v>
      </c>
    </row>
    <row r="7" spans="1:11" x14ac:dyDescent="0.35">
      <c r="A7" s="5">
        <v>2015</v>
      </c>
      <c r="B7" s="8">
        <v>74609.576270826205</v>
      </c>
      <c r="C7" s="8">
        <v>74609.576270826205</v>
      </c>
      <c r="D7" s="8">
        <v>51279.709357161548</v>
      </c>
      <c r="E7" s="8">
        <v>51279.709357161548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f t="shared" ref="K7:K17" si="0">SUM(C7,E7,H7,J7)</f>
        <v>125889.28562798776</v>
      </c>
    </row>
    <row r="8" spans="1:11" x14ac:dyDescent="0.35">
      <c r="A8" s="4">
        <v>2016</v>
      </c>
      <c r="B8" s="7">
        <v>74274.458216269486</v>
      </c>
      <c r="C8" s="7">
        <v>74274.458216269486</v>
      </c>
      <c r="D8" s="7">
        <v>61019.127934732023</v>
      </c>
      <c r="E8" s="7">
        <v>61019.127934732023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f t="shared" si="0"/>
        <v>135293.58615100151</v>
      </c>
    </row>
    <row r="9" spans="1:11" x14ac:dyDescent="0.35">
      <c r="A9" s="5">
        <v>2017</v>
      </c>
      <c r="B9" s="8">
        <v>81230.057135438925</v>
      </c>
      <c r="C9" s="8">
        <v>81230.057135438925</v>
      </c>
      <c r="D9" s="8">
        <v>67266.529459693062</v>
      </c>
      <c r="E9" s="8">
        <v>67266.529459693062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f t="shared" si="0"/>
        <v>148496.58659513199</v>
      </c>
    </row>
    <row r="10" spans="1:11" x14ac:dyDescent="0.35">
      <c r="A10" s="4">
        <v>2018</v>
      </c>
      <c r="B10" s="7">
        <v>80858.472133664298</v>
      </c>
      <c r="C10" s="7">
        <v>80858.472133664298</v>
      </c>
      <c r="D10" s="7">
        <v>68096.137358601118</v>
      </c>
      <c r="E10" s="7">
        <v>68096.137358601118</v>
      </c>
      <c r="F10" s="7">
        <v>63572.090910075902</v>
      </c>
      <c r="G10" s="7">
        <v>19482.621935014598</v>
      </c>
      <c r="H10" s="7">
        <v>83054.7128450905</v>
      </c>
      <c r="I10" s="7">
        <v>0</v>
      </c>
      <c r="J10" s="7">
        <v>0</v>
      </c>
      <c r="K10" s="7">
        <f t="shared" si="0"/>
        <v>232009.32233735593</v>
      </c>
    </row>
    <row r="11" spans="1:11" x14ac:dyDescent="0.35">
      <c r="A11" s="5">
        <v>2019</v>
      </c>
      <c r="B11" s="8">
        <v>79470.758885342424</v>
      </c>
      <c r="C11" s="8">
        <v>79470.758885342424</v>
      </c>
      <c r="D11" s="8">
        <v>66909.118476188276</v>
      </c>
      <c r="E11" s="8">
        <v>66909.118476188276</v>
      </c>
      <c r="F11" s="8">
        <v>118162.856025038</v>
      </c>
      <c r="G11" s="8">
        <v>36036.727078764277</v>
      </c>
      <c r="H11" s="8">
        <v>154199.58310380229</v>
      </c>
      <c r="I11" s="8">
        <v>0</v>
      </c>
      <c r="J11" s="8">
        <v>0</v>
      </c>
      <c r="K11" s="8">
        <f t="shared" si="0"/>
        <v>300579.46046533296</v>
      </c>
    </row>
    <row r="12" spans="1:11" x14ac:dyDescent="0.35">
      <c r="A12" s="4">
        <v>2020</v>
      </c>
      <c r="B12" s="7">
        <v>80180.195096880227</v>
      </c>
      <c r="C12" s="7">
        <v>80180.195096880227</v>
      </c>
      <c r="D12" s="7">
        <v>65775.494025389955</v>
      </c>
      <c r="E12" s="7">
        <v>65775.494025389955</v>
      </c>
      <c r="F12" s="7">
        <v>156940.80891074301</v>
      </c>
      <c r="G12" s="7">
        <v>50758.969752823177</v>
      </c>
      <c r="H12" s="7">
        <v>207699.77866356619</v>
      </c>
      <c r="I12" s="7">
        <v>0</v>
      </c>
      <c r="J12" s="7">
        <v>0</v>
      </c>
      <c r="K12" s="7">
        <f t="shared" si="0"/>
        <v>353655.46778583637</v>
      </c>
    </row>
    <row r="13" spans="1:11" x14ac:dyDescent="0.35">
      <c r="A13" s="5">
        <v>2021</v>
      </c>
      <c r="B13" s="8">
        <v>79255.347944302717</v>
      </c>
      <c r="C13" s="8">
        <v>79255.347944302717</v>
      </c>
      <c r="D13" s="8">
        <v>64830.280477867527</v>
      </c>
      <c r="E13" s="8">
        <v>64830.280477867527</v>
      </c>
      <c r="F13" s="8">
        <v>263868.40534490778</v>
      </c>
      <c r="G13" s="8">
        <v>81981.891128634263</v>
      </c>
      <c r="H13" s="8">
        <v>345850.29647354205</v>
      </c>
      <c r="I13" s="8">
        <v>0</v>
      </c>
      <c r="J13" s="8">
        <v>0</v>
      </c>
      <c r="K13" s="8">
        <f t="shared" si="0"/>
        <v>489935.92489571229</v>
      </c>
    </row>
    <row r="14" spans="1:11" x14ac:dyDescent="0.35">
      <c r="A14" s="4">
        <v>2022</v>
      </c>
      <c r="B14" s="7">
        <v>99305.809668307134</v>
      </c>
      <c r="C14" s="7">
        <v>99305.809668307134</v>
      </c>
      <c r="D14" s="7">
        <v>81417.737077101323</v>
      </c>
      <c r="E14" s="7">
        <v>81417.737077101323</v>
      </c>
      <c r="F14" s="7">
        <v>475933.86136557948</v>
      </c>
      <c r="G14" s="7">
        <v>121969.41731279829</v>
      </c>
      <c r="H14" s="7">
        <v>597903.27867837774</v>
      </c>
      <c r="I14" s="7">
        <v>22380.729606112931</v>
      </c>
      <c r="J14" s="7">
        <v>22380.729606112931</v>
      </c>
      <c r="K14" s="7">
        <f t="shared" si="0"/>
        <v>801007.55502989911</v>
      </c>
    </row>
    <row r="15" spans="1:11" x14ac:dyDescent="0.35">
      <c r="A15" s="5">
        <v>2023</v>
      </c>
      <c r="B15" s="8">
        <v>100106.7301262304</v>
      </c>
      <c r="C15" s="8">
        <v>100106.7301262304</v>
      </c>
      <c r="D15" s="8">
        <v>64302.015851877397</v>
      </c>
      <c r="E15" s="8">
        <v>64302.015851877397</v>
      </c>
      <c r="F15" s="8">
        <v>566092.47936077148</v>
      </c>
      <c r="G15" s="8">
        <v>148832.74220785889</v>
      </c>
      <c r="H15" s="8">
        <v>714925.22156863031</v>
      </c>
      <c r="I15" s="8">
        <v>72923.021355529665</v>
      </c>
      <c r="J15" s="8">
        <v>72923.021355529665</v>
      </c>
      <c r="K15" s="8">
        <f t="shared" si="0"/>
        <v>952256.98890226777</v>
      </c>
    </row>
    <row r="16" spans="1:11" x14ac:dyDescent="0.35">
      <c r="A16" s="4">
        <v>2024</v>
      </c>
      <c r="B16" s="7">
        <v>99621.148629688163</v>
      </c>
      <c r="C16" s="7">
        <v>99621.148629688163</v>
      </c>
      <c r="D16" s="7">
        <v>64195.415771812637</v>
      </c>
      <c r="E16" s="7">
        <v>64195.415771812637</v>
      </c>
      <c r="F16" s="7">
        <v>593088.16115580068</v>
      </c>
      <c r="G16" s="7">
        <v>159602.05384588469</v>
      </c>
      <c r="H16" s="7">
        <v>752690.21500168531</v>
      </c>
      <c r="I16" s="7">
        <v>71840.469589731889</v>
      </c>
      <c r="J16" s="7">
        <v>71840.469589731889</v>
      </c>
      <c r="K16" s="7">
        <f t="shared" si="0"/>
        <v>988347.24899291806</v>
      </c>
    </row>
    <row r="17" spans="1:11" x14ac:dyDescent="0.35">
      <c r="A17" s="6" t="s">
        <v>10</v>
      </c>
      <c r="B17" s="9">
        <v>930184.65433188865</v>
      </c>
      <c r="C17" s="9">
        <v>930184.65433188865</v>
      </c>
      <c r="D17" s="9">
        <v>700218.11700874357</v>
      </c>
      <c r="E17" s="9">
        <v>700218.11700874357</v>
      </c>
      <c r="F17" s="9">
        <v>2237658.6630729167</v>
      </c>
      <c r="G17" s="9">
        <v>618664.4232617782</v>
      </c>
      <c r="H17" s="9">
        <v>2856323.0863346942</v>
      </c>
      <c r="I17" s="9">
        <v>201309.45980415793</v>
      </c>
      <c r="J17" s="9">
        <v>201309.45980415793</v>
      </c>
      <c r="K17" s="9">
        <f t="shared" si="0"/>
        <v>4688035.3174794847</v>
      </c>
    </row>
    <row r="19" spans="1:11" ht="15" thickBot="1" x14ac:dyDescent="0.4"/>
    <row r="20" spans="1:11" x14ac:dyDescent="0.35">
      <c r="A20" s="11" t="s">
        <v>14</v>
      </c>
      <c r="B20" s="12"/>
      <c r="C20" s="12"/>
      <c r="D20" s="12"/>
      <c r="E20" s="12"/>
      <c r="F20" s="12"/>
      <c r="G20" s="12"/>
      <c r="H20" s="12"/>
      <c r="I20" s="12"/>
      <c r="J20" s="12"/>
      <c r="K20" s="13"/>
    </row>
    <row r="21" spans="1:11" ht="15" thickBot="1" x14ac:dyDescent="0.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9"/>
    </row>
    <row r="22" spans="1:11" x14ac:dyDescent="0.35">
      <c r="A22" s="20"/>
      <c r="B22" s="21" t="s">
        <v>4</v>
      </c>
      <c r="C22" s="22"/>
      <c r="D22" s="44" t="s">
        <v>5</v>
      </c>
      <c r="E22" s="45"/>
      <c r="F22" s="44" t="s">
        <v>6</v>
      </c>
      <c r="G22" s="46"/>
      <c r="H22" s="45"/>
      <c r="I22" s="44" t="s">
        <v>7</v>
      </c>
      <c r="J22" s="45"/>
      <c r="K22" s="23"/>
    </row>
    <row r="23" spans="1:11" x14ac:dyDescent="0.35">
      <c r="A23" s="24" t="s">
        <v>17</v>
      </c>
      <c r="B23" s="25" t="s">
        <v>11</v>
      </c>
      <c r="C23" s="26" t="s">
        <v>12</v>
      </c>
      <c r="D23" s="25" t="s">
        <v>11</v>
      </c>
      <c r="E23" s="26" t="s">
        <v>12</v>
      </c>
      <c r="F23" s="25" t="s">
        <v>11</v>
      </c>
      <c r="G23" s="27" t="s">
        <v>15</v>
      </c>
      <c r="H23" s="26" t="s">
        <v>12</v>
      </c>
      <c r="I23" s="25" t="s">
        <v>11</v>
      </c>
      <c r="J23" s="26" t="s">
        <v>12</v>
      </c>
      <c r="K23" s="28" t="s">
        <v>10</v>
      </c>
    </row>
    <row r="24" spans="1:11" x14ac:dyDescent="0.35">
      <c r="A24" s="29">
        <v>2014</v>
      </c>
      <c r="B24" s="30">
        <f>B6/1000</f>
        <v>81.272100224938782</v>
      </c>
      <c r="C24" s="31">
        <f t="shared" ref="C24:K24" si="1">C6/1000</f>
        <v>81.272100224938782</v>
      </c>
      <c r="D24" s="30">
        <f t="shared" si="1"/>
        <v>45.126551218318625</v>
      </c>
      <c r="E24" s="31">
        <f t="shared" si="1"/>
        <v>45.126551218318625</v>
      </c>
      <c r="F24" s="30">
        <f t="shared" si="1"/>
        <v>0</v>
      </c>
      <c r="G24" s="32">
        <f t="shared" si="1"/>
        <v>0</v>
      </c>
      <c r="H24" s="31">
        <f t="shared" si="1"/>
        <v>0</v>
      </c>
      <c r="I24" s="30">
        <f t="shared" si="1"/>
        <v>0</v>
      </c>
      <c r="J24" s="31">
        <f t="shared" si="1"/>
        <v>0</v>
      </c>
      <c r="K24" s="33">
        <f t="shared" si="1"/>
        <v>126.39865144325741</v>
      </c>
    </row>
    <row r="25" spans="1:11" x14ac:dyDescent="0.35">
      <c r="A25" s="34">
        <v>2015</v>
      </c>
      <c r="B25" s="35">
        <f t="shared" ref="B25:K35" si="2">B7/1000</f>
        <v>74.60957627082621</v>
      </c>
      <c r="C25" s="36">
        <f t="shared" si="2"/>
        <v>74.60957627082621</v>
      </c>
      <c r="D25" s="35">
        <f t="shared" si="2"/>
        <v>51.279709357161551</v>
      </c>
      <c r="E25" s="36">
        <f t="shared" si="2"/>
        <v>51.279709357161551</v>
      </c>
      <c r="F25" s="35">
        <f t="shared" si="2"/>
        <v>0</v>
      </c>
      <c r="G25" s="37">
        <f t="shared" si="2"/>
        <v>0</v>
      </c>
      <c r="H25" s="36">
        <f t="shared" si="2"/>
        <v>0</v>
      </c>
      <c r="I25" s="35">
        <f t="shared" si="2"/>
        <v>0</v>
      </c>
      <c r="J25" s="36">
        <f t="shared" si="2"/>
        <v>0</v>
      </c>
      <c r="K25" s="38">
        <f t="shared" si="2"/>
        <v>125.88928562798776</v>
      </c>
    </row>
    <row r="26" spans="1:11" x14ac:dyDescent="0.35">
      <c r="A26" s="29">
        <v>2016</v>
      </c>
      <c r="B26" s="30">
        <f t="shared" si="2"/>
        <v>74.27445821626948</v>
      </c>
      <c r="C26" s="31">
        <f t="shared" si="2"/>
        <v>74.27445821626948</v>
      </c>
      <c r="D26" s="30">
        <f t="shared" si="2"/>
        <v>61.019127934732026</v>
      </c>
      <c r="E26" s="31">
        <f t="shared" si="2"/>
        <v>61.019127934732026</v>
      </c>
      <c r="F26" s="30">
        <f t="shared" si="2"/>
        <v>0</v>
      </c>
      <c r="G26" s="32">
        <f t="shared" si="2"/>
        <v>0</v>
      </c>
      <c r="H26" s="31">
        <f t="shared" si="2"/>
        <v>0</v>
      </c>
      <c r="I26" s="30">
        <f t="shared" si="2"/>
        <v>0</v>
      </c>
      <c r="J26" s="31">
        <f t="shared" si="2"/>
        <v>0</v>
      </c>
      <c r="K26" s="33">
        <f t="shared" si="2"/>
        <v>135.29358615100151</v>
      </c>
    </row>
    <row r="27" spans="1:11" x14ac:dyDescent="0.35">
      <c r="A27" s="34">
        <v>2017</v>
      </c>
      <c r="B27" s="35">
        <f t="shared" si="2"/>
        <v>81.230057135438926</v>
      </c>
      <c r="C27" s="36">
        <f t="shared" si="2"/>
        <v>81.230057135438926</v>
      </c>
      <c r="D27" s="35">
        <f t="shared" si="2"/>
        <v>67.266529459693061</v>
      </c>
      <c r="E27" s="36">
        <f t="shared" si="2"/>
        <v>67.266529459693061</v>
      </c>
      <c r="F27" s="35">
        <f t="shared" si="2"/>
        <v>0</v>
      </c>
      <c r="G27" s="37">
        <f t="shared" si="2"/>
        <v>0</v>
      </c>
      <c r="H27" s="36">
        <f t="shared" si="2"/>
        <v>0</v>
      </c>
      <c r="I27" s="35">
        <f t="shared" si="2"/>
        <v>0</v>
      </c>
      <c r="J27" s="36">
        <f t="shared" si="2"/>
        <v>0</v>
      </c>
      <c r="K27" s="38">
        <f t="shared" si="2"/>
        <v>148.49658659513199</v>
      </c>
    </row>
    <row r="28" spans="1:11" x14ac:dyDescent="0.35">
      <c r="A28" s="29">
        <v>2018</v>
      </c>
      <c r="B28" s="30">
        <f t="shared" si="2"/>
        <v>80.858472133664293</v>
      </c>
      <c r="C28" s="31">
        <f t="shared" si="2"/>
        <v>80.858472133664293</v>
      </c>
      <c r="D28" s="30">
        <f t="shared" si="2"/>
        <v>68.096137358601112</v>
      </c>
      <c r="E28" s="31">
        <f t="shared" si="2"/>
        <v>68.096137358601112</v>
      </c>
      <c r="F28" s="30">
        <f t="shared" si="2"/>
        <v>63.5720909100759</v>
      </c>
      <c r="G28" s="32">
        <f t="shared" si="2"/>
        <v>19.482621935014599</v>
      </c>
      <c r="H28" s="31">
        <f t="shared" si="2"/>
        <v>83.054712845090506</v>
      </c>
      <c r="I28" s="30">
        <f t="shared" si="2"/>
        <v>0</v>
      </c>
      <c r="J28" s="31">
        <f t="shared" si="2"/>
        <v>0</v>
      </c>
      <c r="K28" s="33">
        <f t="shared" si="2"/>
        <v>232.00932233735594</v>
      </c>
    </row>
    <row r="29" spans="1:11" x14ac:dyDescent="0.35">
      <c r="A29" s="34">
        <v>2019</v>
      </c>
      <c r="B29" s="35">
        <f t="shared" si="2"/>
        <v>79.47075888534242</v>
      </c>
      <c r="C29" s="36">
        <f t="shared" si="2"/>
        <v>79.47075888534242</v>
      </c>
      <c r="D29" s="35">
        <f t="shared" si="2"/>
        <v>66.909118476188283</v>
      </c>
      <c r="E29" s="36">
        <f t="shared" si="2"/>
        <v>66.909118476188283</v>
      </c>
      <c r="F29" s="35">
        <f t="shared" si="2"/>
        <v>118.162856025038</v>
      </c>
      <c r="G29" s="37">
        <f t="shared" si="2"/>
        <v>36.036727078764279</v>
      </c>
      <c r="H29" s="36">
        <f t="shared" si="2"/>
        <v>154.1995831038023</v>
      </c>
      <c r="I29" s="35">
        <f t="shared" si="2"/>
        <v>0</v>
      </c>
      <c r="J29" s="36">
        <f t="shared" si="2"/>
        <v>0</v>
      </c>
      <c r="K29" s="38">
        <f t="shared" si="2"/>
        <v>300.57946046533294</v>
      </c>
    </row>
    <row r="30" spans="1:11" x14ac:dyDescent="0.35">
      <c r="A30" s="29">
        <v>2020</v>
      </c>
      <c r="B30" s="30">
        <f t="shared" si="2"/>
        <v>80.180195096880226</v>
      </c>
      <c r="C30" s="31">
        <f t="shared" si="2"/>
        <v>80.180195096880226</v>
      </c>
      <c r="D30" s="30">
        <f t="shared" si="2"/>
        <v>65.77549402538996</v>
      </c>
      <c r="E30" s="31">
        <f t="shared" si="2"/>
        <v>65.77549402538996</v>
      </c>
      <c r="F30" s="30">
        <f t="shared" si="2"/>
        <v>156.94080891074302</v>
      </c>
      <c r="G30" s="32">
        <f t="shared" si="2"/>
        <v>50.758969752823177</v>
      </c>
      <c r="H30" s="31">
        <f t="shared" si="2"/>
        <v>207.69977866356618</v>
      </c>
      <c r="I30" s="30">
        <f t="shared" si="2"/>
        <v>0</v>
      </c>
      <c r="J30" s="31">
        <f t="shared" si="2"/>
        <v>0</v>
      </c>
      <c r="K30" s="33">
        <f t="shared" si="2"/>
        <v>353.65546778583638</v>
      </c>
    </row>
    <row r="31" spans="1:11" x14ac:dyDescent="0.35">
      <c r="A31" s="34">
        <v>2021</v>
      </c>
      <c r="B31" s="35">
        <f t="shared" si="2"/>
        <v>79.255347944302713</v>
      </c>
      <c r="C31" s="36">
        <f t="shared" si="2"/>
        <v>79.255347944302713</v>
      </c>
      <c r="D31" s="35">
        <f t="shared" si="2"/>
        <v>64.830280477867532</v>
      </c>
      <c r="E31" s="36">
        <f t="shared" si="2"/>
        <v>64.830280477867532</v>
      </c>
      <c r="F31" s="35">
        <f t="shared" si="2"/>
        <v>263.86840534490779</v>
      </c>
      <c r="G31" s="37">
        <f t="shared" si="2"/>
        <v>81.98189112863426</v>
      </c>
      <c r="H31" s="36">
        <f t="shared" si="2"/>
        <v>345.85029647354207</v>
      </c>
      <c r="I31" s="35">
        <f t="shared" si="2"/>
        <v>0</v>
      </c>
      <c r="J31" s="36">
        <f t="shared" si="2"/>
        <v>0</v>
      </c>
      <c r="K31" s="38">
        <f t="shared" si="2"/>
        <v>489.93592489571228</v>
      </c>
    </row>
    <row r="32" spans="1:11" x14ac:dyDescent="0.35">
      <c r="A32" s="29">
        <v>2022</v>
      </c>
      <c r="B32" s="30">
        <f t="shared" si="2"/>
        <v>99.305809668307134</v>
      </c>
      <c r="C32" s="31">
        <f t="shared" si="2"/>
        <v>99.305809668307134</v>
      </c>
      <c r="D32" s="30">
        <f t="shared" si="2"/>
        <v>81.417737077101322</v>
      </c>
      <c r="E32" s="31">
        <f t="shared" si="2"/>
        <v>81.417737077101322</v>
      </c>
      <c r="F32" s="30">
        <f t="shared" si="2"/>
        <v>475.9338613655795</v>
      </c>
      <c r="G32" s="32">
        <f t="shared" si="2"/>
        <v>121.9694173127983</v>
      </c>
      <c r="H32" s="31">
        <f t="shared" si="2"/>
        <v>597.90327867837777</v>
      </c>
      <c r="I32" s="30">
        <f t="shared" si="2"/>
        <v>22.380729606112929</v>
      </c>
      <c r="J32" s="31">
        <f t="shared" si="2"/>
        <v>22.380729606112929</v>
      </c>
      <c r="K32" s="33">
        <f t="shared" si="2"/>
        <v>801.00755502989909</v>
      </c>
    </row>
    <row r="33" spans="1:11" x14ac:dyDescent="0.35">
      <c r="A33" s="34">
        <v>2023</v>
      </c>
      <c r="B33" s="35">
        <f t="shared" si="2"/>
        <v>100.10673012623039</v>
      </c>
      <c r="C33" s="36">
        <f t="shared" si="2"/>
        <v>100.10673012623039</v>
      </c>
      <c r="D33" s="35">
        <f t="shared" si="2"/>
        <v>64.3020158518774</v>
      </c>
      <c r="E33" s="36">
        <f t="shared" si="2"/>
        <v>64.3020158518774</v>
      </c>
      <c r="F33" s="35">
        <f t="shared" si="2"/>
        <v>566.09247936077145</v>
      </c>
      <c r="G33" s="37">
        <f t="shared" si="2"/>
        <v>148.8327422078589</v>
      </c>
      <c r="H33" s="36">
        <f t="shared" si="2"/>
        <v>714.92522156863026</v>
      </c>
      <c r="I33" s="35">
        <f t="shared" si="2"/>
        <v>72.92302135552967</v>
      </c>
      <c r="J33" s="36">
        <f t="shared" si="2"/>
        <v>72.92302135552967</v>
      </c>
      <c r="K33" s="38">
        <f t="shared" si="2"/>
        <v>952.25698890226772</v>
      </c>
    </row>
    <row r="34" spans="1:11" x14ac:dyDescent="0.35">
      <c r="A34" s="29">
        <v>2024</v>
      </c>
      <c r="B34" s="30">
        <f t="shared" si="2"/>
        <v>99.621148629688165</v>
      </c>
      <c r="C34" s="31">
        <f t="shared" si="2"/>
        <v>99.621148629688165</v>
      </c>
      <c r="D34" s="30">
        <f t="shared" si="2"/>
        <v>64.195415771812634</v>
      </c>
      <c r="E34" s="31">
        <f t="shared" si="2"/>
        <v>64.195415771812634</v>
      </c>
      <c r="F34" s="30">
        <f t="shared" si="2"/>
        <v>593.08816115580066</v>
      </c>
      <c r="G34" s="32">
        <f t="shared" si="2"/>
        <v>159.60205384588468</v>
      </c>
      <c r="H34" s="31">
        <f t="shared" si="2"/>
        <v>752.69021500168526</v>
      </c>
      <c r="I34" s="30">
        <f t="shared" si="2"/>
        <v>71.840469589731896</v>
      </c>
      <c r="J34" s="31">
        <f t="shared" si="2"/>
        <v>71.840469589731896</v>
      </c>
      <c r="K34" s="33">
        <f t="shared" si="2"/>
        <v>988.34724899291803</v>
      </c>
    </row>
    <row r="35" spans="1:11" ht="15" thickBot="1" x14ac:dyDescent="0.4">
      <c r="A35" s="39" t="s">
        <v>10</v>
      </c>
      <c r="B35" s="40">
        <f t="shared" si="2"/>
        <v>930.18465433188862</v>
      </c>
      <c r="C35" s="41">
        <f t="shared" si="2"/>
        <v>930.18465433188862</v>
      </c>
      <c r="D35" s="40">
        <f t="shared" si="2"/>
        <v>700.21811700874355</v>
      </c>
      <c r="E35" s="41">
        <f t="shared" si="2"/>
        <v>700.21811700874355</v>
      </c>
      <c r="F35" s="40">
        <f t="shared" si="2"/>
        <v>2237.6586630729166</v>
      </c>
      <c r="G35" s="42">
        <f t="shared" si="2"/>
        <v>618.66442326177821</v>
      </c>
      <c r="H35" s="41">
        <f t="shared" si="2"/>
        <v>2856.3230863346944</v>
      </c>
      <c r="I35" s="40">
        <f t="shared" si="2"/>
        <v>201.30945980415794</v>
      </c>
      <c r="J35" s="41">
        <f t="shared" si="2"/>
        <v>201.30945980415794</v>
      </c>
      <c r="K35" s="43">
        <f t="shared" si="2"/>
        <v>4688.0353174794845</v>
      </c>
    </row>
    <row r="37" spans="1:11" x14ac:dyDescent="0.35">
      <c r="A37" t="s">
        <v>16</v>
      </c>
    </row>
  </sheetData>
  <mergeCells count="10">
    <mergeCell ref="F4:G4"/>
    <mergeCell ref="I4:J4"/>
    <mergeCell ref="D4:E4"/>
    <mergeCell ref="B4:C4"/>
    <mergeCell ref="A2:J3"/>
    <mergeCell ref="B22:C22"/>
    <mergeCell ref="D22:E22"/>
    <mergeCell ref="I22:J22"/>
    <mergeCell ref="A20:K21"/>
    <mergeCell ref="F22:H22"/>
  </mergeCells>
  <printOptions horizontalCentered="1" verticalCentered="1"/>
  <pageMargins left="0.7" right="0.7" top="0.75" bottom="0.75" header="0.3" footer="0.3"/>
  <pageSetup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workbookViewId="0">
      <selection activeCell="B15" sqref="A1:D71"/>
    </sheetView>
  </sheetViews>
  <sheetFormatPr defaultRowHeight="14.5" x14ac:dyDescent="0.35"/>
  <cols>
    <col min="1" max="1" width="7.453125" bestFit="1" customWidth="1"/>
    <col min="2" max="2" width="22.36328125" bestFit="1" customWidth="1"/>
    <col min="3" max="3" width="8.81640625" bestFit="1" customWidth="1"/>
    <col min="4" max="4" width="12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2014</v>
      </c>
      <c r="B2" t="s">
        <v>4</v>
      </c>
      <c r="C2" t="s">
        <v>8</v>
      </c>
      <c r="D2">
        <v>81272.100224938782</v>
      </c>
    </row>
    <row r="3" spans="1:4" x14ac:dyDescent="0.35">
      <c r="A3">
        <v>2014</v>
      </c>
      <c r="B3" t="s">
        <v>4</v>
      </c>
      <c r="C3" t="s">
        <v>9</v>
      </c>
      <c r="D3">
        <v>0</v>
      </c>
    </row>
    <row r="4" spans="1:4" x14ac:dyDescent="0.35">
      <c r="A4">
        <v>2014</v>
      </c>
      <c r="B4" t="s">
        <v>5</v>
      </c>
      <c r="C4" t="s">
        <v>8</v>
      </c>
      <c r="D4">
        <v>45126.551218318622</v>
      </c>
    </row>
    <row r="5" spans="1:4" x14ac:dyDescent="0.35">
      <c r="A5">
        <v>2014</v>
      </c>
      <c r="B5" t="s">
        <v>5</v>
      </c>
      <c r="C5" t="s">
        <v>9</v>
      </c>
      <c r="D5">
        <v>0</v>
      </c>
    </row>
    <row r="6" spans="1:4" x14ac:dyDescent="0.35">
      <c r="A6">
        <v>2015</v>
      </c>
      <c r="B6" t="s">
        <v>4</v>
      </c>
      <c r="C6" t="s">
        <v>8</v>
      </c>
      <c r="D6">
        <v>74609.576270826205</v>
      </c>
    </row>
    <row r="7" spans="1:4" x14ac:dyDescent="0.35">
      <c r="A7">
        <v>2015</v>
      </c>
      <c r="B7" t="s">
        <v>4</v>
      </c>
      <c r="C7" t="s">
        <v>9</v>
      </c>
      <c r="D7">
        <v>0</v>
      </c>
    </row>
    <row r="8" spans="1:4" x14ac:dyDescent="0.35">
      <c r="A8">
        <v>2015</v>
      </c>
      <c r="B8" t="s">
        <v>5</v>
      </c>
      <c r="C8" t="s">
        <v>8</v>
      </c>
      <c r="D8">
        <v>51279.709357161548</v>
      </c>
    </row>
    <row r="9" spans="1:4" x14ac:dyDescent="0.35">
      <c r="A9">
        <v>2015</v>
      </c>
      <c r="B9" t="s">
        <v>5</v>
      </c>
      <c r="C9" t="s">
        <v>9</v>
      </c>
      <c r="D9">
        <v>0</v>
      </c>
    </row>
    <row r="10" spans="1:4" x14ac:dyDescent="0.35">
      <c r="A10">
        <v>2016</v>
      </c>
      <c r="B10" t="s">
        <v>4</v>
      </c>
      <c r="C10" t="s">
        <v>8</v>
      </c>
      <c r="D10">
        <v>74274.458216269486</v>
      </c>
    </row>
    <row r="11" spans="1:4" x14ac:dyDescent="0.35">
      <c r="A11">
        <v>2016</v>
      </c>
      <c r="B11" t="s">
        <v>4</v>
      </c>
      <c r="C11" t="s">
        <v>9</v>
      </c>
      <c r="D11">
        <v>0</v>
      </c>
    </row>
    <row r="12" spans="1:4" x14ac:dyDescent="0.35">
      <c r="A12">
        <v>2016</v>
      </c>
      <c r="B12" t="s">
        <v>5</v>
      </c>
      <c r="C12" t="s">
        <v>8</v>
      </c>
      <c r="D12">
        <v>61019.127934732023</v>
      </c>
    </row>
    <row r="13" spans="1:4" x14ac:dyDescent="0.35">
      <c r="A13">
        <v>2016</v>
      </c>
      <c r="B13" t="s">
        <v>5</v>
      </c>
      <c r="C13" t="s">
        <v>9</v>
      </c>
      <c r="D13">
        <v>0</v>
      </c>
    </row>
    <row r="14" spans="1:4" x14ac:dyDescent="0.35">
      <c r="A14">
        <v>2017</v>
      </c>
      <c r="B14" t="s">
        <v>4</v>
      </c>
      <c r="C14" t="s">
        <v>8</v>
      </c>
      <c r="D14">
        <v>81230.057135438925</v>
      </c>
    </row>
    <row r="15" spans="1:4" x14ac:dyDescent="0.35">
      <c r="A15">
        <v>2017</v>
      </c>
      <c r="B15" t="s">
        <v>4</v>
      </c>
      <c r="C15" t="s">
        <v>9</v>
      </c>
      <c r="D15">
        <v>0</v>
      </c>
    </row>
    <row r="16" spans="1:4" x14ac:dyDescent="0.35">
      <c r="A16">
        <v>2017</v>
      </c>
      <c r="B16" t="s">
        <v>5</v>
      </c>
      <c r="C16" t="s">
        <v>8</v>
      </c>
      <c r="D16">
        <v>67266.529459693062</v>
      </c>
    </row>
    <row r="17" spans="1:4" x14ac:dyDescent="0.35">
      <c r="A17">
        <v>2017</v>
      </c>
      <c r="B17" t="s">
        <v>5</v>
      </c>
      <c r="C17" t="s">
        <v>9</v>
      </c>
      <c r="D17">
        <v>0</v>
      </c>
    </row>
    <row r="18" spans="1:4" x14ac:dyDescent="0.35">
      <c r="A18">
        <v>2018</v>
      </c>
      <c r="B18" t="s">
        <v>4</v>
      </c>
      <c r="C18" t="s">
        <v>8</v>
      </c>
      <c r="D18">
        <v>80858.472133664298</v>
      </c>
    </row>
    <row r="19" spans="1:4" x14ac:dyDescent="0.35">
      <c r="A19">
        <v>2018</v>
      </c>
      <c r="B19" t="s">
        <v>4</v>
      </c>
      <c r="C19" t="s">
        <v>9</v>
      </c>
      <c r="D19">
        <v>0</v>
      </c>
    </row>
    <row r="20" spans="1:4" x14ac:dyDescent="0.35">
      <c r="A20">
        <v>2018</v>
      </c>
      <c r="B20" t="s">
        <v>5</v>
      </c>
      <c r="C20" t="s">
        <v>8</v>
      </c>
      <c r="D20">
        <v>68096.137358601118</v>
      </c>
    </row>
    <row r="21" spans="1:4" x14ac:dyDescent="0.35">
      <c r="A21">
        <v>2018</v>
      </c>
      <c r="B21" t="s">
        <v>5</v>
      </c>
      <c r="C21" t="s">
        <v>9</v>
      </c>
      <c r="D21">
        <v>0</v>
      </c>
    </row>
    <row r="22" spans="1:4" x14ac:dyDescent="0.35">
      <c r="A22">
        <v>2018</v>
      </c>
      <c r="B22" t="s">
        <v>6</v>
      </c>
      <c r="C22" t="s">
        <v>8</v>
      </c>
      <c r="D22">
        <v>63572.090910075902</v>
      </c>
    </row>
    <row r="23" spans="1:4" x14ac:dyDescent="0.35">
      <c r="A23">
        <v>2018</v>
      </c>
      <c r="B23" t="s">
        <v>6</v>
      </c>
      <c r="C23" t="s">
        <v>9</v>
      </c>
      <c r="D23">
        <v>19482.621935014598</v>
      </c>
    </row>
    <row r="24" spans="1:4" x14ac:dyDescent="0.35">
      <c r="A24">
        <v>2019</v>
      </c>
      <c r="B24" t="s">
        <v>4</v>
      </c>
      <c r="C24" t="s">
        <v>8</v>
      </c>
      <c r="D24">
        <v>79470.758885342424</v>
      </c>
    </row>
    <row r="25" spans="1:4" x14ac:dyDescent="0.35">
      <c r="A25">
        <v>2019</v>
      </c>
      <c r="B25" t="s">
        <v>4</v>
      </c>
      <c r="C25" t="s">
        <v>9</v>
      </c>
      <c r="D25">
        <v>0</v>
      </c>
    </row>
    <row r="26" spans="1:4" x14ac:dyDescent="0.35">
      <c r="A26">
        <v>2019</v>
      </c>
      <c r="B26" t="s">
        <v>5</v>
      </c>
      <c r="C26" t="s">
        <v>8</v>
      </c>
      <c r="D26">
        <v>66909.118476188276</v>
      </c>
    </row>
    <row r="27" spans="1:4" x14ac:dyDescent="0.35">
      <c r="A27">
        <v>2019</v>
      </c>
      <c r="B27" t="s">
        <v>5</v>
      </c>
      <c r="C27" t="s">
        <v>9</v>
      </c>
      <c r="D27">
        <v>0</v>
      </c>
    </row>
    <row r="28" spans="1:4" x14ac:dyDescent="0.35">
      <c r="A28">
        <v>2019</v>
      </c>
      <c r="B28" t="s">
        <v>6</v>
      </c>
      <c r="C28" t="s">
        <v>8</v>
      </c>
      <c r="D28">
        <v>118162.856025038</v>
      </c>
    </row>
    <row r="29" spans="1:4" x14ac:dyDescent="0.35">
      <c r="A29">
        <v>2019</v>
      </c>
      <c r="B29" t="s">
        <v>6</v>
      </c>
      <c r="C29" t="s">
        <v>9</v>
      </c>
      <c r="D29">
        <v>36036.727078764277</v>
      </c>
    </row>
    <row r="30" spans="1:4" x14ac:dyDescent="0.35">
      <c r="A30">
        <v>2019</v>
      </c>
      <c r="B30" t="s">
        <v>7</v>
      </c>
      <c r="C30" t="s">
        <v>8</v>
      </c>
      <c r="D30">
        <v>1675.065263088823</v>
      </c>
    </row>
    <row r="31" spans="1:4" x14ac:dyDescent="0.35">
      <c r="A31">
        <v>2019</v>
      </c>
      <c r="B31" t="s">
        <v>7</v>
      </c>
      <c r="C31" t="s">
        <v>9</v>
      </c>
      <c r="D31">
        <v>0</v>
      </c>
    </row>
    <row r="32" spans="1:4" x14ac:dyDescent="0.35">
      <c r="A32">
        <v>2020</v>
      </c>
      <c r="B32" t="s">
        <v>4</v>
      </c>
      <c r="C32" t="s">
        <v>8</v>
      </c>
      <c r="D32">
        <v>80180.195096880227</v>
      </c>
    </row>
    <row r="33" spans="1:4" x14ac:dyDescent="0.35">
      <c r="A33">
        <v>2020</v>
      </c>
      <c r="B33" t="s">
        <v>4</v>
      </c>
      <c r="C33" t="s">
        <v>9</v>
      </c>
      <c r="D33">
        <v>0</v>
      </c>
    </row>
    <row r="34" spans="1:4" x14ac:dyDescent="0.35">
      <c r="A34">
        <v>2020</v>
      </c>
      <c r="B34" t="s">
        <v>5</v>
      </c>
      <c r="C34" t="s">
        <v>8</v>
      </c>
      <c r="D34">
        <v>65775.494025389955</v>
      </c>
    </row>
    <row r="35" spans="1:4" x14ac:dyDescent="0.35">
      <c r="A35">
        <v>2020</v>
      </c>
      <c r="B35" t="s">
        <v>5</v>
      </c>
      <c r="C35" t="s">
        <v>9</v>
      </c>
      <c r="D35">
        <v>0</v>
      </c>
    </row>
    <row r="36" spans="1:4" x14ac:dyDescent="0.35">
      <c r="A36">
        <v>2020</v>
      </c>
      <c r="B36" t="s">
        <v>6</v>
      </c>
      <c r="C36" t="s">
        <v>8</v>
      </c>
      <c r="D36">
        <v>156940.80891074301</v>
      </c>
    </row>
    <row r="37" spans="1:4" x14ac:dyDescent="0.35">
      <c r="A37">
        <v>2020</v>
      </c>
      <c r="B37" t="s">
        <v>6</v>
      </c>
      <c r="C37" t="s">
        <v>9</v>
      </c>
      <c r="D37">
        <v>50758.969752823177</v>
      </c>
    </row>
    <row r="38" spans="1:4" x14ac:dyDescent="0.35">
      <c r="A38">
        <v>2020</v>
      </c>
      <c r="B38" t="s">
        <v>7</v>
      </c>
      <c r="C38" t="s">
        <v>8</v>
      </c>
      <c r="D38">
        <v>14016.44625999209</v>
      </c>
    </row>
    <row r="39" spans="1:4" x14ac:dyDescent="0.35">
      <c r="A39">
        <v>2020</v>
      </c>
      <c r="B39" t="s">
        <v>7</v>
      </c>
      <c r="C39" t="s">
        <v>9</v>
      </c>
      <c r="D39">
        <v>0</v>
      </c>
    </row>
    <row r="40" spans="1:4" x14ac:dyDescent="0.35">
      <c r="A40">
        <v>2021</v>
      </c>
      <c r="B40" t="s">
        <v>4</v>
      </c>
      <c r="C40" t="s">
        <v>8</v>
      </c>
      <c r="D40">
        <v>79255.347944302717</v>
      </c>
    </row>
    <row r="41" spans="1:4" x14ac:dyDescent="0.35">
      <c r="A41">
        <v>2021</v>
      </c>
      <c r="B41" t="s">
        <v>4</v>
      </c>
      <c r="C41" t="s">
        <v>9</v>
      </c>
      <c r="D41">
        <v>0</v>
      </c>
    </row>
    <row r="42" spans="1:4" x14ac:dyDescent="0.35">
      <c r="A42">
        <v>2021</v>
      </c>
      <c r="B42" t="s">
        <v>5</v>
      </c>
      <c r="C42" t="s">
        <v>8</v>
      </c>
      <c r="D42">
        <v>64830.280477867527</v>
      </c>
    </row>
    <row r="43" spans="1:4" x14ac:dyDescent="0.35">
      <c r="A43">
        <v>2021</v>
      </c>
      <c r="B43" t="s">
        <v>5</v>
      </c>
      <c r="C43" t="s">
        <v>9</v>
      </c>
      <c r="D43">
        <v>0</v>
      </c>
    </row>
    <row r="44" spans="1:4" x14ac:dyDescent="0.35">
      <c r="A44">
        <v>2021</v>
      </c>
      <c r="B44" t="s">
        <v>6</v>
      </c>
      <c r="C44" t="s">
        <v>8</v>
      </c>
      <c r="D44">
        <v>263868.40534490778</v>
      </c>
    </row>
    <row r="45" spans="1:4" x14ac:dyDescent="0.35">
      <c r="A45">
        <v>2021</v>
      </c>
      <c r="B45" t="s">
        <v>6</v>
      </c>
      <c r="C45" t="s">
        <v>9</v>
      </c>
      <c r="D45">
        <v>81981.891128634263</v>
      </c>
    </row>
    <row r="46" spans="1:4" x14ac:dyDescent="0.35">
      <c r="A46">
        <v>2021</v>
      </c>
      <c r="B46" t="s">
        <v>7</v>
      </c>
      <c r="C46" t="s">
        <v>8</v>
      </c>
      <c r="D46">
        <v>18473.727729702539</v>
      </c>
    </row>
    <row r="47" spans="1:4" x14ac:dyDescent="0.35">
      <c r="A47">
        <v>2021</v>
      </c>
      <c r="B47" t="s">
        <v>7</v>
      </c>
      <c r="C47" t="s">
        <v>9</v>
      </c>
      <c r="D47">
        <v>0</v>
      </c>
    </row>
    <row r="48" spans="1:4" x14ac:dyDescent="0.35">
      <c r="A48">
        <v>2022</v>
      </c>
      <c r="B48" t="s">
        <v>4</v>
      </c>
      <c r="C48" t="s">
        <v>8</v>
      </c>
      <c r="D48">
        <v>99305.809668307134</v>
      </c>
    </row>
    <row r="49" spans="1:4" x14ac:dyDescent="0.35">
      <c r="A49">
        <v>2022</v>
      </c>
      <c r="B49" t="s">
        <v>4</v>
      </c>
      <c r="C49" t="s">
        <v>9</v>
      </c>
      <c r="D49">
        <v>0</v>
      </c>
    </row>
    <row r="50" spans="1:4" x14ac:dyDescent="0.35">
      <c r="A50">
        <v>2022</v>
      </c>
      <c r="B50" t="s">
        <v>5</v>
      </c>
      <c r="C50" t="s">
        <v>8</v>
      </c>
      <c r="D50">
        <v>81417.737077101323</v>
      </c>
    </row>
    <row r="51" spans="1:4" x14ac:dyDescent="0.35">
      <c r="A51">
        <v>2022</v>
      </c>
      <c r="B51" t="s">
        <v>5</v>
      </c>
      <c r="C51" t="s">
        <v>9</v>
      </c>
      <c r="D51">
        <v>0</v>
      </c>
    </row>
    <row r="52" spans="1:4" x14ac:dyDescent="0.35">
      <c r="A52">
        <v>2022</v>
      </c>
      <c r="B52" t="s">
        <v>6</v>
      </c>
      <c r="C52" t="s">
        <v>8</v>
      </c>
      <c r="D52">
        <v>475933.86136557948</v>
      </c>
    </row>
    <row r="53" spans="1:4" x14ac:dyDescent="0.35">
      <c r="A53">
        <v>2022</v>
      </c>
      <c r="B53" t="s">
        <v>6</v>
      </c>
      <c r="C53" t="s">
        <v>9</v>
      </c>
      <c r="D53">
        <v>121969.41731279829</v>
      </c>
    </row>
    <row r="54" spans="1:4" x14ac:dyDescent="0.35">
      <c r="A54">
        <v>2022</v>
      </c>
      <c r="B54" t="s">
        <v>7</v>
      </c>
      <c r="C54" t="s">
        <v>8</v>
      </c>
      <c r="D54">
        <v>22380.729606112931</v>
      </c>
    </row>
    <row r="55" spans="1:4" x14ac:dyDescent="0.35">
      <c r="A55">
        <v>2022</v>
      </c>
      <c r="B55" t="s">
        <v>7</v>
      </c>
      <c r="C55" t="s">
        <v>9</v>
      </c>
      <c r="D55">
        <v>0</v>
      </c>
    </row>
    <row r="56" spans="1:4" x14ac:dyDescent="0.35">
      <c r="A56">
        <v>2023</v>
      </c>
      <c r="B56" t="s">
        <v>4</v>
      </c>
      <c r="C56" t="s">
        <v>8</v>
      </c>
      <c r="D56">
        <v>100106.7301262304</v>
      </c>
    </row>
    <row r="57" spans="1:4" x14ac:dyDescent="0.35">
      <c r="A57">
        <v>2023</v>
      </c>
      <c r="B57" t="s">
        <v>4</v>
      </c>
      <c r="C57" t="s">
        <v>9</v>
      </c>
      <c r="D57">
        <v>0</v>
      </c>
    </row>
    <row r="58" spans="1:4" x14ac:dyDescent="0.35">
      <c r="A58">
        <v>2023</v>
      </c>
      <c r="B58" t="s">
        <v>5</v>
      </c>
      <c r="C58" t="s">
        <v>8</v>
      </c>
      <c r="D58">
        <v>64302.015851877397</v>
      </c>
    </row>
    <row r="59" spans="1:4" x14ac:dyDescent="0.35">
      <c r="A59">
        <v>2023</v>
      </c>
      <c r="B59" t="s">
        <v>5</v>
      </c>
      <c r="C59" t="s">
        <v>9</v>
      </c>
      <c r="D59">
        <v>0</v>
      </c>
    </row>
    <row r="60" spans="1:4" x14ac:dyDescent="0.35">
      <c r="A60">
        <v>2023</v>
      </c>
      <c r="B60" t="s">
        <v>6</v>
      </c>
      <c r="C60" t="s">
        <v>8</v>
      </c>
      <c r="D60">
        <v>566092.47936077148</v>
      </c>
    </row>
    <row r="61" spans="1:4" x14ac:dyDescent="0.35">
      <c r="A61">
        <v>2023</v>
      </c>
      <c r="B61" t="s">
        <v>6</v>
      </c>
      <c r="C61" t="s">
        <v>9</v>
      </c>
      <c r="D61">
        <v>148832.74220785889</v>
      </c>
    </row>
    <row r="62" spans="1:4" x14ac:dyDescent="0.35">
      <c r="A62">
        <v>2023</v>
      </c>
      <c r="B62" t="s">
        <v>7</v>
      </c>
      <c r="C62" t="s">
        <v>8</v>
      </c>
      <c r="D62">
        <v>72923.021355529665</v>
      </c>
    </row>
    <row r="63" spans="1:4" x14ac:dyDescent="0.35">
      <c r="A63">
        <v>2023</v>
      </c>
      <c r="B63" t="s">
        <v>7</v>
      </c>
      <c r="C63" t="s">
        <v>9</v>
      </c>
      <c r="D63">
        <v>0</v>
      </c>
    </row>
    <row r="64" spans="1:4" x14ac:dyDescent="0.35">
      <c r="A64">
        <v>2024</v>
      </c>
      <c r="B64" t="s">
        <v>4</v>
      </c>
      <c r="C64" t="s">
        <v>8</v>
      </c>
      <c r="D64">
        <v>99621.148629688163</v>
      </c>
    </row>
    <row r="65" spans="1:4" x14ac:dyDescent="0.35">
      <c r="A65">
        <v>2024</v>
      </c>
      <c r="B65" t="s">
        <v>4</v>
      </c>
      <c r="C65" t="s">
        <v>9</v>
      </c>
      <c r="D65">
        <v>0</v>
      </c>
    </row>
    <row r="66" spans="1:4" x14ac:dyDescent="0.35">
      <c r="A66">
        <v>2024</v>
      </c>
      <c r="B66" t="s">
        <v>5</v>
      </c>
      <c r="C66" t="s">
        <v>8</v>
      </c>
      <c r="D66">
        <v>64195.415771812637</v>
      </c>
    </row>
    <row r="67" spans="1:4" x14ac:dyDescent="0.35">
      <c r="A67">
        <v>2024</v>
      </c>
      <c r="B67" t="s">
        <v>5</v>
      </c>
      <c r="C67" t="s">
        <v>9</v>
      </c>
      <c r="D67">
        <v>0</v>
      </c>
    </row>
    <row r="68" spans="1:4" x14ac:dyDescent="0.35">
      <c r="A68">
        <v>2024</v>
      </c>
      <c r="B68" t="s">
        <v>6</v>
      </c>
      <c r="C68" t="s">
        <v>8</v>
      </c>
      <c r="D68">
        <v>593088.16115580068</v>
      </c>
    </row>
    <row r="69" spans="1:4" x14ac:dyDescent="0.35">
      <c r="A69">
        <v>2024</v>
      </c>
      <c r="B69" t="s">
        <v>6</v>
      </c>
      <c r="C69" t="s">
        <v>9</v>
      </c>
      <c r="D69">
        <v>159602.05384588469</v>
      </c>
    </row>
    <row r="70" spans="1:4" x14ac:dyDescent="0.35">
      <c r="A70">
        <v>2024</v>
      </c>
      <c r="B70" t="s">
        <v>7</v>
      </c>
      <c r="C70" t="s">
        <v>8</v>
      </c>
      <c r="D70">
        <v>71840.469589731889</v>
      </c>
    </row>
    <row r="71" spans="1:4" x14ac:dyDescent="0.35">
      <c r="A71">
        <v>2024</v>
      </c>
      <c r="B71" t="s">
        <v>7</v>
      </c>
      <c r="C71" t="s">
        <v>9</v>
      </c>
      <c r="D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Joe White</cp:lastModifiedBy>
  <cp:lastPrinted>2025-08-14T19:31:59Z</cp:lastPrinted>
  <dcterms:created xsi:type="dcterms:W3CDTF">2025-08-14T17:22:39Z</dcterms:created>
  <dcterms:modified xsi:type="dcterms:W3CDTF">2025-08-14T19:32:07Z</dcterms:modified>
</cp:coreProperties>
</file>